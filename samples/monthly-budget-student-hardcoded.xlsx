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Monthly Budget</v>
      </c>
    </row>
    <row r="2">
      <c r="A2" t="str">
        <v>October 2026</v>
      </c>
    </row>
    <row r="4">
      <c r="A4" t="str">
        <v>Income</v>
      </c>
      <c r="B4" t="str">
        <v>Budgeted</v>
      </c>
      <c r="C4" t="str">
        <v>Actual</v>
      </c>
      <c r="D4" t="str">
        <v>Difference</v>
      </c>
    </row>
    <row r="5">
      <c r="A5" t="str">
        <v>Salary</v>
      </c>
      <c r="B5" s="1">
        <v>3200</v>
      </c>
      <c r="C5" s="1">
        <v>3250</v>
      </c>
      <c r="D5" s="1">
        <f>C5-B5</f>
        <v>50</v>
      </c>
    </row>
    <row r="6">
      <c r="A6" t="str">
        <v>Freelance</v>
      </c>
      <c r="B6" s="1">
        <v>400</v>
      </c>
      <c r="C6" s="1">
        <v>520</v>
      </c>
      <c r="D6" s="1">
        <f>C6-B6</f>
        <v>120</v>
      </c>
    </row>
    <row r="7">
      <c r="A7" t="str">
        <v>Total Income</v>
      </c>
      <c r="B7" s="1">
        <v>3600</v>
      </c>
      <c r="C7" s="1">
        <v>3770</v>
      </c>
      <c r="D7" s="1">
        <v>170</v>
      </c>
    </row>
    <row r="9">
      <c r="A9" t="str">
        <v>Expenses</v>
      </c>
      <c r="B9" t="str">
        <v>Budgeted</v>
      </c>
      <c r="C9" t="str">
        <v>Actual</v>
      </c>
      <c r="D9" t="str">
        <v>Difference</v>
      </c>
      <c r="E9" t="str">
        <v>% of Income</v>
      </c>
    </row>
    <row r="10">
      <c r="A10" t="str">
        <v>Rent</v>
      </c>
      <c r="B10" s="1">
        <v>1200</v>
      </c>
      <c r="C10" s="1">
        <v>1200</v>
      </c>
      <c r="D10" s="1">
        <f>B10-C10</f>
        <v>0</v>
      </c>
      <c r="E10" s="2">
        <f>C10/$C$7</f>
        <v>0.3183023872679045</v>
      </c>
    </row>
    <row r="11">
      <c r="A11" t="str">
        <v>Groceries</v>
      </c>
      <c r="B11" s="1">
        <v>450</v>
      </c>
      <c r="C11" s="1">
        <v>487.35</v>
      </c>
      <c r="D11" s="1">
        <f>B11-C11</f>
        <v>-37.35000000000002</v>
      </c>
      <c r="E11" s="2">
        <f>C11/$C$7</f>
        <v>0.12927055702917772</v>
      </c>
    </row>
    <row r="12">
      <c r="A12" t="str">
        <v>Utilities</v>
      </c>
      <c r="B12" s="1">
        <v>180</v>
      </c>
      <c r="C12" s="1">
        <v>162.4</v>
      </c>
      <c r="D12" s="1">
        <f>B12-C12</f>
        <v>17.599999999999994</v>
      </c>
      <c r="E12" s="2">
        <f>C12/$C$7</f>
        <v>0.043076923076923075</v>
      </c>
    </row>
    <row r="13">
      <c r="A13" t="str">
        <v>Transportation</v>
      </c>
      <c r="B13" s="1">
        <v>220</v>
      </c>
      <c r="C13" s="1">
        <v>245</v>
      </c>
      <c r="D13" s="1">
        <f>B13-C13</f>
        <v>-25</v>
      </c>
      <c r="E13" s="2">
        <f>C13/$C$7</f>
        <v>0.0649867374005305</v>
      </c>
    </row>
    <row r="14">
      <c r="A14" t="str">
        <v>Entertainment</v>
      </c>
      <c r="B14" s="1">
        <v>150</v>
      </c>
      <c r="C14" s="1">
        <v>98.5</v>
      </c>
      <c r="D14" s="1">
        <f>B14-C14</f>
        <v>51.5</v>
      </c>
      <c r="E14" s="2">
        <f>C14/$C$7</f>
        <v>0.026127320954907163</v>
      </c>
    </row>
    <row r="15">
      <c r="A15" t="str">
        <v>Savings</v>
      </c>
      <c r="B15" s="1">
        <v>500</v>
      </c>
      <c r="C15" s="1">
        <v>500</v>
      </c>
      <c r="D15" s="1">
        <f>B15-C15</f>
        <v>0</v>
      </c>
      <c r="E15" s="2">
        <f>C15/$C$7</f>
        <v>0.13262599469496023</v>
      </c>
    </row>
    <row r="16">
      <c r="A16" t="str">
        <v>Total Expenses</v>
      </c>
      <c r="B16" s="1">
        <v>2700</v>
      </c>
      <c r="C16" s="1">
        <v>2693.25</v>
      </c>
      <c r="D16" s="1">
        <v>6.75</v>
      </c>
      <c r="E16" s="2">
        <v>0.7144</v>
      </c>
    </row>
    <row r="18">
      <c r="A18" t="str">
        <v>Net (Income - Expenses)</v>
      </c>
      <c r="B18" s="1">
        <v>900</v>
      </c>
      <c r="C18" s="1">
        <v>1076.75</v>
      </c>
    </row>
  </sheetData>
  <mergeCells count="2">
    <mergeCell ref="A1:E1"/>
    <mergeCell ref="A2:E2"/>
  </mergeCells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