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&quot;$&quot;#,##0.00"/>
    <numFmt numFmtId="61" formatCode="0.0%"/>
    <numFmt numFmtId="62" formatCode="&quot;$&quot;#,##0"/>
    <numFmt numFmtId="63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9" fontId="0" fillId="0" borderId="0" xfId="0" applyNumberFormat="1"/>
    <xf numFmtId="6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24.83203125" customWidth="1"/>
    <col min="2" max="2" width="11.83203125" customWidth="1"/>
    <col min="3" max="3" width="11.83203125" customWidth="1"/>
    <col min="4" max="4" width="11.83203125" customWidth="1"/>
    <col min="5" max="5" width="10.83203125" customWidth="1"/>
    <col min="6" max="6" width="8.83203125" customWidth="1"/>
  </cols>
  <sheetData>
    <row r="1">
      <c r="A1" t="str">
        <v>Grade Calculator</v>
      </c>
    </row>
    <row r="3">
      <c r="A3" t="str">
        <v>Category</v>
      </c>
      <c r="B3" t="str">
        <v>Weight</v>
      </c>
    </row>
    <row r="4">
      <c r="A4" t="str">
        <v>Homework</v>
      </c>
      <c r="B4" s="1">
        <v>0.25</v>
      </c>
    </row>
    <row r="5">
      <c r="A5" t="str">
        <v>Quizzes</v>
      </c>
      <c r="B5" s="1">
        <v>0.25</v>
      </c>
    </row>
    <row r="6">
      <c r="A6" t="str">
        <v>Exams</v>
      </c>
      <c r="B6" s="1">
        <v>0.5</v>
      </c>
    </row>
    <row r="8">
      <c r="A8" t="str">
        <v>Student</v>
      </c>
      <c r="B8" t="str">
        <v>Homework</v>
      </c>
      <c r="C8" t="str">
        <v>Quizzes</v>
      </c>
      <c r="D8" t="str">
        <v>Exams</v>
      </c>
      <c r="E8" t="str">
        <v>Final %</v>
      </c>
      <c r="F8" t="str">
        <v>Letter</v>
      </c>
    </row>
    <row r="9">
      <c r="A9" t="str">
        <v>Jordan Lee</v>
      </c>
      <c r="B9">
        <v>92</v>
      </c>
      <c r="C9">
        <v>88</v>
      </c>
      <c r="D9">
        <v>85</v>
      </c>
      <c r="E9">
        <f>ROUND(B9*$B$4+C9*$B$5+D9*$B$6,1)</f>
        <v>87.5</v>
      </c>
      <c r="F9" t="str">
        <f>IF(E9&gt;90,"A",IF(E9&gt;80,"B",IF(E9&gt;70,"C",IF(E9&gt;60,"D","F"))))</f>
        <v>B</v>
      </c>
    </row>
    <row r="10">
      <c r="A10" t="str">
        <v>Priya Shah</v>
      </c>
      <c r="B10">
        <v>98</v>
      </c>
      <c r="C10">
        <v>95</v>
      </c>
      <c r="D10">
        <v>93</v>
      </c>
      <c r="E10">
        <f>ROUND(B10*$B$4+C10*$B$5+D10*$B$6,1)</f>
        <v>94.8</v>
      </c>
      <c r="F10" t="str">
        <f>IF(E10&gt;90,"A",IF(E10&gt;80,"B",IF(E10&gt;70,"C",IF(E10&gt;60,"D","F"))))</f>
        <v>A</v>
      </c>
    </row>
    <row r="11">
      <c r="A11" t="str">
        <v>Marcus Bell</v>
      </c>
      <c r="B11">
        <v>75</v>
      </c>
      <c r="C11">
        <v>68</v>
      </c>
      <c r="D11">
        <v>72</v>
      </c>
      <c r="E11">
        <f>ROUND(B11*$B$4+C11*$B$5+D11*$B$6,1)</f>
        <v>71.8</v>
      </c>
      <c r="F11" t="str">
        <f>IF(E11&gt;90,"A",IF(E11&gt;80,"B",IF(E11&gt;70,"C",IF(E11&gt;60,"D","F"))))</f>
        <v>C</v>
      </c>
    </row>
    <row r="12">
      <c r="A12" t="str">
        <v>Sofia Garcia</v>
      </c>
      <c r="B12">
        <v>90</v>
      </c>
      <c r="C12">
        <v>90</v>
      </c>
      <c r="D12">
        <v>90</v>
      </c>
      <c r="E12">
        <f>ROUND(B12*$B$4+C12*$B$5+D12*$B$6,1)</f>
        <v>90</v>
      </c>
      <c r="F12" t="str">
        <f>IF(E12&gt;90,"A",IF(E12&gt;80,"B",IF(E12&gt;70,"C",IF(E12&gt;60,"D","F"))))</f>
        <v>B</v>
      </c>
    </row>
    <row r="13">
      <c r="A13" t="str">
        <v>Liam Chen</v>
      </c>
      <c r="B13">
        <v>60</v>
      </c>
      <c r="C13">
        <v>55</v>
      </c>
      <c r="D13">
        <v>58</v>
      </c>
      <c r="E13">
        <f>ROUND(B13*$B$4+C13*$B$5+D13*$B$6,1)</f>
        <v>57.8</v>
      </c>
      <c r="F13" t="str">
        <f>IF(E13&gt;90,"A",IF(E13&gt;80,"B",IF(E13&gt;70,"C",IF(E13&gt;60,"D","F"))))</f>
        <v>F</v>
      </c>
    </row>
    <row r="14">
      <c r="A14" t="str">
        <v>Nora Kim</v>
      </c>
      <c r="B14">
        <v>84</v>
      </c>
      <c r="C14">
        <v>79</v>
      </c>
      <c r="D14">
        <v>81</v>
      </c>
      <c r="E14">
        <f>ROUND(B14*$B$4+C14*$B$5+D14*$B$6,1)</f>
        <v>81.3</v>
      </c>
      <c r="F14" t="str">
        <f>IF(E14&gt;90,"A",IF(E14&gt;80,"B",IF(E14&gt;70,"C",IF(E14&gt;60,"D","F"))))</f>
        <v>B</v>
      </c>
    </row>
    <row r="16">
      <c r="A16" t="str">
        <v>Class average</v>
      </c>
      <c r="E16" s="2">
        <v>80.53</v>
      </c>
    </row>
    <row r="17">
      <c r="A17" t="str">
        <v>Highest final %</v>
      </c>
      <c r="E17">
        <f>MAX(E9:E14)</f>
        <v>94.8</v>
      </c>
    </row>
    <row r="18">
      <c r="A18" t="str">
        <v>Students passing (60+)</v>
      </c>
      <c r="E18">
        <f>COUNTIF(E9:E14,"&gt;=60")</f>
        <v>5</v>
      </c>
    </row>
  </sheetData>
  <mergeCells count="1">
    <mergeCell ref="A1:F1"/>
  </mergeCells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