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3 Sal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&quot;$&quot;#,##0.00"/>
    <numFmt numFmtId="61" formatCode="0.0%"/>
    <numFmt numFmtId="62" formatCode="&quot;$&quot;#,##0"/>
    <numFmt numFmtId="63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15.83203125" customWidth="1"/>
  </cols>
  <sheetData>
    <row r="1">
      <c r="A1" t="str">
        <v>Quarterly Sales Report: Q3 2026</v>
      </c>
    </row>
    <row r="2">
      <c r="A2" t="str">
        <v>Prepared by Sample Student</v>
      </c>
    </row>
    <row r="4">
      <c r="A4" t="str">
        <v>Region</v>
      </c>
      <c r="B4" t="str">
        <v>July</v>
      </c>
      <c r="C4" t="str">
        <v>August</v>
      </c>
      <c r="D4" t="str">
        <v>September</v>
      </c>
      <c r="E4" t="str">
        <v>Q3 Total</v>
      </c>
      <c r="F4" t="str">
        <v>Share of Sales</v>
      </c>
    </row>
    <row r="5">
      <c r="A5" t="str">
        <v>North</v>
      </c>
      <c r="B5" s="1">
        <v>48200</v>
      </c>
      <c r="C5" s="1">
        <v>51350</v>
      </c>
      <c r="D5" s="1">
        <v>49875</v>
      </c>
      <c r="E5" s="1">
        <f>SUM(B5:D5)</f>
        <v>149425</v>
      </c>
      <c r="F5" s="2">
        <f>E5/$E$9</f>
        <v>0.2765311693238704</v>
      </c>
    </row>
    <row r="6">
      <c r="A6" t="str">
        <v>South</v>
      </c>
      <c r="B6" s="1">
        <v>39100</v>
      </c>
      <c r="C6" s="1">
        <v>42780</v>
      </c>
      <c r="D6" s="1">
        <v>45210</v>
      </c>
      <c r="E6" s="1">
        <f>SUM(B6:D6)</f>
        <v>127090</v>
      </c>
      <c r="F6" s="2">
        <f>E6/$E$9</f>
        <v>0.23519723144969512</v>
      </c>
    </row>
    <row r="7">
      <c r="A7" t="str">
        <v>East</v>
      </c>
      <c r="B7" s="1">
        <v>55640</v>
      </c>
      <c r="C7" s="1">
        <v>53120</v>
      </c>
      <c r="D7" s="1">
        <v>58930</v>
      </c>
      <c r="E7" s="1">
        <f>SUM(B7:D7)</f>
        <v>167690</v>
      </c>
      <c r="F7" s="2">
        <f>E7/$E$9</f>
        <v>0.3103330218097362</v>
      </c>
    </row>
    <row r="8">
      <c r="A8" t="str">
        <v>West</v>
      </c>
      <c r="B8" s="1">
        <v>31480</v>
      </c>
      <c r="C8" s="1">
        <v>29950</v>
      </c>
      <c r="D8" s="1">
        <v>34720</v>
      </c>
      <c r="E8" s="1">
        <f>SUM(B8:D8)</f>
        <v>96150</v>
      </c>
      <c r="F8" s="2">
        <f>E8/$E$9</f>
        <v>0.17793857741669827</v>
      </c>
    </row>
    <row r="9">
      <c r="A9" t="str">
        <v>Total</v>
      </c>
      <c r="B9" s="1">
        <f>SUM(B5:B8)</f>
        <v>174420</v>
      </c>
      <c r="C9" s="1">
        <f>SUM(C5:C8)</f>
        <v>177200</v>
      </c>
      <c r="D9" s="1">
        <f>SUM(D5:D8)</f>
        <v>188735</v>
      </c>
      <c r="E9" s="1">
        <f>SUM(E5:E8)</f>
        <v>540355</v>
      </c>
      <c r="F9" s="2">
        <f>SUM(F5:F8)</f>
        <v>1</v>
      </c>
    </row>
    <row r="11">
      <c r="A11" t="str">
        <v>Best month</v>
      </c>
      <c r="B11" t="str">
        <f>INDEX(B4:D4,1,MATCH(MAX(B9:D9),B9:D9,0))</f>
        <v>September</v>
      </c>
    </row>
    <row r="12">
      <c r="A12" t="str">
        <v>Top region</v>
      </c>
      <c r="B12" t="str">
        <f>INDEX(A5:A8,MATCH(MAX(E5:E8),E5:E8,0))</f>
        <v>East</v>
      </c>
    </row>
  </sheetData>
  <mergeCells count="2">
    <mergeCell ref="A1:F1"/>
    <mergeCell ref="A2:F2"/>
  </mergeCells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110.83203125" customWidth="1"/>
  </cols>
  <sheetData>
    <row r="1">
      <c r="A1" t="str">
        <v>Summary</v>
      </c>
    </row>
    <row r="3">
      <c r="A3" t="str">
        <v>Q3 sales reached $540,355. September was the strongest month, and the East region led every month, bringing in just over 30% of the quarter. West is the smallest region and dipped in August.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 Sales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